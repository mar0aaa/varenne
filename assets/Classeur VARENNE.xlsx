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16310\Downloads\varenne\"/>
    </mc:Choice>
  </mc:AlternateContent>
  <xr:revisionPtr revIDLastSave="0" documentId="13_ncr:1_{52F2FAB3-E9EF-40E6-957D-97F5886C26CC}" xr6:coauthVersionLast="47" xr6:coauthVersionMax="47" xr10:uidLastSave="{00000000-0000-0000-0000-000000000000}"/>
  <bookViews>
    <workbookView xWindow="-23148" yWindow="-108" windowWidth="23256" windowHeight="12456" xr2:uid="{75CBCC3E-64D8-4B21-A314-FF0F7D466DD3}"/>
  </bookViews>
  <sheets>
    <sheet name="Feuil1" sheetId="1" r:id="rId1"/>
  </sheets>
  <definedNames>
    <definedName name="_xlnm.Print_Area" localSheetId="0">Feuil1!$C$5:$I$55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H71" i="1" s="1"/>
  <c r="G71" i="1"/>
  <c r="I71" i="1"/>
  <c r="F72" i="1"/>
  <c r="G72" i="1"/>
  <c r="H72" i="1"/>
  <c r="I72" i="1"/>
  <c r="F67" i="1"/>
  <c r="H67" i="1" s="1"/>
  <c r="G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50" i="1"/>
  <c r="H50" i="1" s="1"/>
  <c r="G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H54" i="1" s="1"/>
  <c r="G54" i="1"/>
  <c r="I54" i="1"/>
  <c r="I38" i="1"/>
  <c r="F37" i="1"/>
  <c r="G37" i="1"/>
  <c r="H37" i="1"/>
  <c r="I37" i="1"/>
  <c r="F36" i="1"/>
  <c r="G36" i="1"/>
  <c r="H36" i="1"/>
  <c r="I36" i="1"/>
  <c r="I21" i="1"/>
  <c r="F20" i="1"/>
  <c r="G20" i="1"/>
  <c r="H20" i="1"/>
  <c r="I20" i="1"/>
  <c r="I19" i="1"/>
  <c r="H19" i="1"/>
  <c r="F19" i="1"/>
  <c r="G19" i="1"/>
  <c r="I66" i="1"/>
  <c r="G66" i="1"/>
  <c r="F66" i="1"/>
  <c r="H66" i="1" s="1"/>
  <c r="I65" i="1"/>
  <c r="H65" i="1"/>
  <c r="G65" i="1"/>
  <c r="F65" i="1"/>
  <c r="I64" i="1"/>
  <c r="G64" i="1"/>
  <c r="F64" i="1"/>
  <c r="H64" i="1" s="1"/>
  <c r="I63" i="1"/>
  <c r="G63" i="1"/>
  <c r="F63" i="1"/>
  <c r="H63" i="1" s="1"/>
  <c r="I62" i="1"/>
  <c r="G62" i="1"/>
  <c r="F62" i="1"/>
  <c r="H62" i="1" s="1"/>
  <c r="I61" i="1"/>
  <c r="G61" i="1"/>
  <c r="F61" i="1"/>
  <c r="H61" i="1" s="1"/>
  <c r="I42" i="1"/>
  <c r="I43" i="1"/>
  <c r="I44" i="1"/>
  <c r="I45" i="1"/>
  <c r="I46" i="1"/>
  <c r="I47" i="1"/>
  <c r="I48" i="1"/>
  <c r="I49" i="1"/>
  <c r="I41" i="1"/>
  <c r="F35" i="1"/>
  <c r="H35" i="1" s="1"/>
  <c r="G35" i="1"/>
  <c r="I35" i="1"/>
  <c r="F34" i="1"/>
  <c r="G34" i="1"/>
  <c r="H34" i="1"/>
  <c r="I34" i="1"/>
  <c r="I25" i="1"/>
  <c r="I26" i="1"/>
  <c r="I27" i="1"/>
  <c r="I28" i="1"/>
  <c r="I29" i="1"/>
  <c r="I30" i="1"/>
  <c r="I31" i="1"/>
  <c r="I32" i="1"/>
  <c r="I33" i="1"/>
  <c r="I8" i="1"/>
  <c r="I9" i="1"/>
  <c r="I10" i="1"/>
  <c r="I11" i="1"/>
  <c r="I12" i="1"/>
  <c r="I13" i="1"/>
  <c r="I14" i="1"/>
  <c r="I15" i="1"/>
  <c r="I16" i="1"/>
  <c r="I17" i="1"/>
  <c r="I18" i="1"/>
  <c r="I74" i="1" l="1"/>
  <c r="F41" i="1"/>
  <c r="G41" i="1"/>
  <c r="H41" i="1"/>
  <c r="F8" i="1"/>
  <c r="G8" i="1"/>
  <c r="H8" i="1"/>
  <c r="F10" i="1"/>
  <c r="H10" i="1" s="1"/>
  <c r="G10" i="1"/>
  <c r="F11" i="1"/>
  <c r="G11" i="1"/>
  <c r="H11" i="1"/>
  <c r="F12" i="1"/>
  <c r="H12" i="1" s="1"/>
  <c r="G12" i="1"/>
  <c r="F14" i="1"/>
  <c r="H14" i="1" s="1"/>
  <c r="G14" i="1"/>
  <c r="F15" i="1"/>
  <c r="H15" i="1" s="1"/>
  <c r="G15" i="1"/>
  <c r="F16" i="1"/>
  <c r="H16" i="1" s="1"/>
  <c r="G16" i="1"/>
  <c r="F29" i="1"/>
  <c r="H29" i="1" s="1"/>
  <c r="G29" i="1"/>
  <c r="F30" i="1"/>
  <c r="H30" i="1" s="1"/>
  <c r="G30" i="1"/>
  <c r="G42" i="1"/>
  <c r="F49" i="1"/>
  <c r="H49" i="1" s="1"/>
  <c r="F32" i="1"/>
  <c r="H32" i="1" s="1"/>
  <c r="F33" i="1"/>
  <c r="H33" i="1" s="1"/>
  <c r="F17" i="1"/>
  <c r="H17" i="1" s="1"/>
  <c r="F18" i="1"/>
  <c r="H18" i="1" s="1"/>
  <c r="G18" i="1"/>
  <c r="G17" i="1"/>
  <c r="G33" i="1"/>
  <c r="G49" i="1"/>
  <c r="G32" i="1"/>
  <c r="F48" i="1"/>
  <c r="H48" i="1" s="1"/>
  <c r="G48" i="1"/>
  <c r="F47" i="1"/>
  <c r="H47" i="1" s="1"/>
  <c r="G47" i="1"/>
  <c r="F31" i="1"/>
  <c r="H31" i="1" s="1"/>
  <c r="G31" i="1"/>
  <c r="F13" i="1"/>
  <c r="H13" i="1" s="1"/>
  <c r="G13" i="1"/>
  <c r="I7" i="1"/>
  <c r="G43" i="1"/>
  <c r="G44" i="1"/>
  <c r="G45" i="1"/>
  <c r="G46" i="1"/>
  <c r="F43" i="1"/>
  <c r="H43" i="1" s="1"/>
  <c r="F44" i="1"/>
  <c r="H44" i="1" s="1"/>
  <c r="F45" i="1"/>
  <c r="H45" i="1" s="1"/>
  <c r="F46" i="1"/>
  <c r="H46" i="1" s="1"/>
  <c r="F28" i="1"/>
  <c r="H28" i="1" s="1"/>
  <c r="F25" i="1"/>
  <c r="H25" i="1" s="1"/>
  <c r="G25" i="1"/>
  <c r="G28" i="1"/>
  <c r="G27" i="1"/>
  <c r="F27" i="1"/>
  <c r="H27" i="1" s="1"/>
  <c r="G26" i="1"/>
  <c r="F26" i="1"/>
  <c r="H26" i="1" s="1"/>
  <c r="I24" i="1"/>
  <c r="G24" i="1"/>
  <c r="F24" i="1"/>
  <c r="H24" i="1" s="1"/>
  <c r="F42" i="1"/>
  <c r="H42" i="1" s="1"/>
  <c r="G7" i="1"/>
  <c r="F9" i="1"/>
  <c r="H9" i="1" s="1"/>
  <c r="F7" i="1"/>
  <c r="H7" i="1" s="1"/>
  <c r="G9" i="1"/>
  <c r="I55" i="1" l="1"/>
</calcChain>
</file>

<file path=xl/sharedStrings.xml><?xml version="1.0" encoding="utf-8"?>
<sst xmlns="http://schemas.openxmlformats.org/spreadsheetml/2006/main" count="88" uniqueCount="25">
  <si>
    <t>n</t>
  </si>
  <si>
    <t>m</t>
  </si>
  <si>
    <t>Radius</t>
  </si>
  <si>
    <t>Window Area</t>
  </si>
  <si>
    <t>Mean</t>
  </si>
  <si>
    <t>Traces Density</t>
  </si>
  <si>
    <t>Unbiased Average Trace Length</t>
  </si>
  <si>
    <t>p1</t>
  </si>
  <si>
    <t>p2</t>
  </si>
  <si>
    <t>p3</t>
  </si>
  <si>
    <t>p4</t>
  </si>
  <si>
    <t>p5</t>
  </si>
  <si>
    <t>p6</t>
  </si>
  <si>
    <t>p8</t>
  </si>
  <si>
    <t>p9</t>
  </si>
  <si>
    <t>p7</t>
  </si>
  <si>
    <t>Family 2</t>
  </si>
  <si>
    <t>Family 3</t>
  </si>
  <si>
    <t>Family 1</t>
  </si>
  <si>
    <t>p10</t>
  </si>
  <si>
    <t>p11</t>
  </si>
  <si>
    <t>p12</t>
  </si>
  <si>
    <t>p13</t>
  </si>
  <si>
    <t>p14</t>
  </si>
  <si>
    <t>Family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</si>
</sst>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E433-E448-444F-AD83-1BE8952BC866}">
  <dimension ref="B5:N114"/>
  <sheetViews>
    <sheetView tabSelected="1" topLeftCell="A54" workbookViewId="0">
      <selection activeCell="M68" sqref="M68"/>
    </sheetView>
  </sheetViews>
  <sheetFormatPr defaultColWidth="11.5703125" defaultRowHeight="15" x14ac:dyDescent="0.25"/>
  <cols>
    <col min="2" max="2" width="20.5703125" bestFit="1" customWidth="1"/>
    <col min="3" max="3" width="9.5703125" customWidth="1"/>
    <col min="4" max="4" width="7.140625" customWidth="1"/>
    <col min="5" max="5" width="10.140625" customWidth="1"/>
    <col min="7" max="7" width="8.85546875" customWidth="1"/>
    <col min="8" max="8" width="10.85546875" customWidth="1"/>
    <col min="9" max="9" width="19" customWidth="1"/>
  </cols>
  <sheetData>
    <row r="5" spans="2:9" x14ac:dyDescent="0.25">
      <c r="C5" s="17" t="s">
        <v>18</v>
      </c>
      <c r="D5" s="18"/>
      <c r="E5" s="18"/>
      <c r="F5" s="18"/>
      <c r="G5" s="18"/>
      <c r="H5" s="18"/>
      <c r="I5" s="19"/>
    </row>
    <row r="6" spans="2:9" ht="30.75" thickBot="1" x14ac:dyDescent="0.3"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6</v>
      </c>
    </row>
    <row r="7" spans="2:9" x14ac:dyDescent="0.25">
      <c r="B7" t="s">
        <v>7</v>
      </c>
      <c r="C7" s="13">
        <v>3</v>
      </c>
      <c r="D7" s="13">
        <v>7</v>
      </c>
      <c r="E7" s="12">
        <v>4.5</v>
      </c>
      <c r="F7" s="12">
        <f>PI()*(E7^2)</f>
        <v>63.617251235193308</v>
      </c>
      <c r="G7" s="13">
        <f>(C7+D7)/2</f>
        <v>5</v>
      </c>
      <c r="H7" s="12">
        <f>D7/(2*F7)</f>
        <v>5.5016523537939135E-2</v>
      </c>
      <c r="I7" s="12">
        <f>(PI()*E7*C7)/(2*D7)</f>
        <v>3.0293929159615862</v>
      </c>
    </row>
    <row r="8" spans="2:9" x14ac:dyDescent="0.25">
      <c r="B8" t="s">
        <v>8</v>
      </c>
      <c r="C8" s="1">
        <v>1</v>
      </c>
      <c r="D8" s="1">
        <v>1</v>
      </c>
      <c r="E8" s="12">
        <v>4.5</v>
      </c>
      <c r="F8" s="6">
        <f t="shared" ref="F8:F9" si="0">PI()*(E8^2)</f>
        <v>63.617251235193308</v>
      </c>
      <c r="G8" s="1">
        <f t="shared" ref="G8:G19" si="1">(C8+D8)/2</f>
        <v>1</v>
      </c>
      <c r="H8" s="12">
        <f>D8/(2*F8)</f>
        <v>7.8595033625627336E-3</v>
      </c>
      <c r="I8" s="12">
        <f t="shared" ref="I8:I19" si="2">(PI()*E8*C8)/(2*D8)</f>
        <v>7.0685834705770345</v>
      </c>
    </row>
    <row r="9" spans="2:9" x14ac:dyDescent="0.25">
      <c r="B9" t="s">
        <v>9</v>
      </c>
      <c r="C9" s="1">
        <v>2</v>
      </c>
      <c r="D9" s="1">
        <v>8</v>
      </c>
      <c r="E9" s="12">
        <v>4.5</v>
      </c>
      <c r="F9" s="6">
        <f t="shared" si="0"/>
        <v>63.617251235193308</v>
      </c>
      <c r="G9" s="1">
        <f t="shared" si="1"/>
        <v>5</v>
      </c>
      <c r="H9" s="12">
        <f t="shared" ref="H9:H19" si="3">D9/(2*F9)</f>
        <v>6.2876026900501869E-2</v>
      </c>
      <c r="I9" s="12">
        <f t="shared" si="2"/>
        <v>1.7671458676442586</v>
      </c>
    </row>
    <row r="10" spans="2:9" x14ac:dyDescent="0.25">
      <c r="B10" t="s">
        <v>10</v>
      </c>
      <c r="C10" s="1">
        <v>3</v>
      </c>
      <c r="D10" s="1">
        <v>7</v>
      </c>
      <c r="E10" s="12">
        <v>4.5</v>
      </c>
      <c r="F10" s="6">
        <f>PI()*(E10^2)</f>
        <v>63.617251235193308</v>
      </c>
      <c r="G10" s="1">
        <f t="shared" si="1"/>
        <v>5</v>
      </c>
      <c r="H10" s="12">
        <f t="shared" si="3"/>
        <v>5.5016523537939135E-2</v>
      </c>
      <c r="I10" s="12">
        <f t="shared" si="2"/>
        <v>3.0293929159615862</v>
      </c>
    </row>
    <row r="11" spans="2:9" x14ac:dyDescent="0.25">
      <c r="B11" t="s">
        <v>11</v>
      </c>
      <c r="C11" s="1">
        <v>2</v>
      </c>
      <c r="D11" s="1">
        <v>8</v>
      </c>
      <c r="E11" s="12">
        <v>4.5</v>
      </c>
      <c r="F11" s="6">
        <f>PI()*(E11^2)</f>
        <v>63.617251235193308</v>
      </c>
      <c r="G11" s="1">
        <f t="shared" si="1"/>
        <v>5</v>
      </c>
      <c r="H11" s="12">
        <f t="shared" si="3"/>
        <v>6.2876026900501869E-2</v>
      </c>
      <c r="I11" s="12">
        <f t="shared" si="2"/>
        <v>1.7671458676442586</v>
      </c>
    </row>
    <row r="12" spans="2:9" x14ac:dyDescent="0.25">
      <c r="B12" t="s">
        <v>12</v>
      </c>
      <c r="C12" s="1">
        <v>1</v>
      </c>
      <c r="D12" s="1">
        <v>7</v>
      </c>
      <c r="E12" s="12">
        <v>4.5</v>
      </c>
      <c r="F12" s="6">
        <f>PI()*(E12^2)</f>
        <v>63.617251235193308</v>
      </c>
      <c r="G12" s="1">
        <f t="shared" si="1"/>
        <v>4</v>
      </c>
      <c r="H12" s="12">
        <f t="shared" si="3"/>
        <v>5.5016523537939135E-2</v>
      </c>
      <c r="I12" s="12">
        <f t="shared" si="2"/>
        <v>1.0097976386538621</v>
      </c>
    </row>
    <row r="13" spans="2:9" x14ac:dyDescent="0.25">
      <c r="B13" t="s">
        <v>15</v>
      </c>
      <c r="C13" s="1">
        <v>6</v>
      </c>
      <c r="D13" s="1">
        <v>24</v>
      </c>
      <c r="E13" s="12">
        <v>4.5</v>
      </c>
      <c r="F13" s="6">
        <f>PI()*(E13^2)</f>
        <v>63.617251235193308</v>
      </c>
      <c r="G13" s="1">
        <f t="shared" si="1"/>
        <v>15</v>
      </c>
      <c r="H13" s="12">
        <f t="shared" si="3"/>
        <v>0.18862808070150561</v>
      </c>
      <c r="I13" s="12">
        <f t="shared" si="2"/>
        <v>1.7671458676442586</v>
      </c>
    </row>
    <row r="14" spans="2:9" x14ac:dyDescent="0.25">
      <c r="B14" t="s">
        <v>13</v>
      </c>
      <c r="C14" s="1">
        <v>3</v>
      </c>
      <c r="D14" s="1">
        <v>15</v>
      </c>
      <c r="E14" s="12">
        <v>4.5</v>
      </c>
      <c r="F14" s="6">
        <f>PI()*(E14^2)</f>
        <v>63.617251235193308</v>
      </c>
      <c r="G14" s="1">
        <f t="shared" si="1"/>
        <v>9</v>
      </c>
      <c r="H14" s="12">
        <f t="shared" si="3"/>
        <v>0.117892550438441</v>
      </c>
      <c r="I14" s="12">
        <f t="shared" si="2"/>
        <v>1.4137166941154069</v>
      </c>
    </row>
    <row r="15" spans="2:9" x14ac:dyDescent="0.25">
      <c r="B15" t="s">
        <v>14</v>
      </c>
      <c r="C15" s="1">
        <v>1</v>
      </c>
      <c r="D15" s="1">
        <v>7</v>
      </c>
      <c r="E15" s="12">
        <v>4.5</v>
      </c>
      <c r="F15" s="6">
        <f t="shared" ref="F15:F19" si="4">PI()*(E15^2)</f>
        <v>63.617251235193308</v>
      </c>
      <c r="G15" s="1">
        <f t="shared" si="1"/>
        <v>4</v>
      </c>
      <c r="H15" s="12">
        <f t="shared" si="3"/>
        <v>5.5016523537939135E-2</v>
      </c>
      <c r="I15" s="12">
        <f t="shared" si="2"/>
        <v>1.0097976386538621</v>
      </c>
    </row>
    <row r="16" spans="2:9" x14ac:dyDescent="0.25">
      <c r="B16" t="s">
        <v>19</v>
      </c>
      <c r="C16" s="1">
        <v>3</v>
      </c>
      <c r="D16" s="1">
        <v>21</v>
      </c>
      <c r="E16" s="12">
        <v>4.5</v>
      </c>
      <c r="F16" s="6">
        <f t="shared" si="4"/>
        <v>63.617251235193308</v>
      </c>
      <c r="G16" s="1">
        <f t="shared" si="1"/>
        <v>12</v>
      </c>
      <c r="H16" s="12">
        <f t="shared" si="3"/>
        <v>0.16504957061381739</v>
      </c>
      <c r="I16" s="12">
        <f t="shared" si="2"/>
        <v>1.0097976386538621</v>
      </c>
    </row>
    <row r="17" spans="2:14" x14ac:dyDescent="0.25">
      <c r="B17" t="s">
        <v>20</v>
      </c>
      <c r="C17" s="1">
        <v>2</v>
      </c>
      <c r="D17" s="1">
        <v>18</v>
      </c>
      <c r="E17" s="12">
        <v>4.5</v>
      </c>
      <c r="F17" s="6">
        <f t="shared" si="4"/>
        <v>63.617251235193308</v>
      </c>
      <c r="G17" s="1">
        <f t="shared" si="1"/>
        <v>10</v>
      </c>
      <c r="H17" s="12">
        <f t="shared" si="3"/>
        <v>0.14147106052612921</v>
      </c>
      <c r="I17" s="12">
        <f t="shared" si="2"/>
        <v>0.78539816339744828</v>
      </c>
      <c r="N17">
        <v>1</v>
      </c>
    </row>
    <row r="18" spans="2:14" x14ac:dyDescent="0.25">
      <c r="B18" t="s">
        <v>21</v>
      </c>
      <c r="C18" s="1">
        <v>3</v>
      </c>
      <c r="D18" s="1">
        <v>15</v>
      </c>
      <c r="E18" s="12">
        <v>4.5</v>
      </c>
      <c r="F18" s="6">
        <f t="shared" si="4"/>
        <v>63.617251235193308</v>
      </c>
      <c r="G18" s="1">
        <f t="shared" si="1"/>
        <v>9</v>
      </c>
      <c r="H18" s="12">
        <f t="shared" si="3"/>
        <v>0.117892550438441</v>
      </c>
      <c r="I18" s="12">
        <f t="shared" si="2"/>
        <v>1.4137166941154069</v>
      </c>
    </row>
    <row r="19" spans="2:14" x14ac:dyDescent="0.25">
      <c r="B19" t="s">
        <v>22</v>
      </c>
      <c r="C19" s="1">
        <v>1</v>
      </c>
      <c r="D19" s="1">
        <v>19</v>
      </c>
      <c r="E19" s="12">
        <v>4.5</v>
      </c>
      <c r="F19" s="6">
        <f t="shared" si="4"/>
        <v>63.617251235193308</v>
      </c>
      <c r="G19" s="1">
        <f t="shared" si="1"/>
        <v>10</v>
      </c>
      <c r="H19" s="12">
        <f t="shared" si="3"/>
        <v>0.14933056388869193</v>
      </c>
      <c r="I19" s="12">
        <f t="shared" si="2"/>
        <v>0.37203070897773866</v>
      </c>
    </row>
    <row r="20" spans="2:14" x14ac:dyDescent="0.25">
      <c r="B20" t="s">
        <v>23</v>
      </c>
      <c r="C20" s="1">
        <v>4</v>
      </c>
      <c r="D20" s="1">
        <v>20</v>
      </c>
      <c r="E20" s="12">
        <v>5.5</v>
      </c>
      <c r="F20" s="6">
        <f t="shared" ref="F20" si="5">PI()*(E20^2)</f>
        <v>95.033177771091246</v>
      </c>
      <c r="G20" s="1">
        <f t="shared" ref="G20" si="6">(C20+D20)/2</f>
        <v>12</v>
      </c>
      <c r="H20" s="12">
        <f t="shared" ref="H20" si="7">D20/(2*F20)</f>
        <v>0.10522640865579856</v>
      </c>
      <c r="I20" s="12">
        <f t="shared" ref="I20" si="8">(PI()*E20*C20)/(2*D20)</f>
        <v>1.727875959474386</v>
      </c>
    </row>
    <row r="21" spans="2:14" x14ac:dyDescent="0.25">
      <c r="C21" s="1"/>
      <c r="D21" s="1"/>
      <c r="E21" s="2"/>
      <c r="F21" s="6"/>
      <c r="G21" s="1"/>
      <c r="H21" s="6"/>
      <c r="I21" s="12">
        <f>AVERAGE(I7:I20)</f>
        <v>1.9407812886767828</v>
      </c>
    </row>
    <row r="22" spans="2:14" x14ac:dyDescent="0.25">
      <c r="C22" s="17" t="s">
        <v>16</v>
      </c>
      <c r="D22" s="18"/>
      <c r="E22" s="18"/>
      <c r="F22" s="18"/>
      <c r="G22" s="18"/>
      <c r="H22" s="18"/>
      <c r="I22" s="19"/>
    </row>
    <row r="23" spans="2:14" ht="30" x14ac:dyDescent="0.25">
      <c r="C23" s="7" t="s">
        <v>0</v>
      </c>
      <c r="D23" s="8" t="s">
        <v>1</v>
      </c>
      <c r="E23" s="8" t="s">
        <v>2</v>
      </c>
      <c r="F23" s="8" t="s">
        <v>3</v>
      </c>
      <c r="G23" s="8" t="s">
        <v>4</v>
      </c>
      <c r="H23" s="8" t="s">
        <v>5</v>
      </c>
      <c r="I23" s="9" t="s">
        <v>6</v>
      </c>
    </row>
    <row r="24" spans="2:14" x14ac:dyDescent="0.25">
      <c r="B24" t="s">
        <v>7</v>
      </c>
      <c r="C24" s="1">
        <v>3</v>
      </c>
      <c r="D24" s="1">
        <v>18</v>
      </c>
      <c r="E24" s="12">
        <v>4.5</v>
      </c>
      <c r="F24" s="6">
        <f t="shared" ref="F24" si="9">PI()*(E24^2)</f>
        <v>63.617251235193308</v>
      </c>
      <c r="G24" s="1">
        <f t="shared" ref="G24:G25" si="10">(C24+D24)/2</f>
        <v>10.5</v>
      </c>
      <c r="H24" s="6">
        <f t="shared" ref="H24" si="11">D24/(2*F24)</f>
        <v>0.14147106052612921</v>
      </c>
      <c r="I24" s="6">
        <f t="shared" ref="I24:I33" si="12">(PI()*E24*C24)/(2*D24)</f>
        <v>1.1780972450961724</v>
      </c>
    </row>
    <row r="25" spans="2:14" x14ac:dyDescent="0.25">
      <c r="B25" t="s">
        <v>8</v>
      </c>
      <c r="C25" s="1">
        <v>4</v>
      </c>
      <c r="D25" s="1">
        <v>14</v>
      </c>
      <c r="E25" s="12">
        <v>4.5</v>
      </c>
      <c r="F25" s="6">
        <f t="shared" ref="F25:F33" si="13">PI()*(E25^2)</f>
        <v>63.617251235193308</v>
      </c>
      <c r="G25" s="1">
        <f t="shared" si="10"/>
        <v>9</v>
      </c>
      <c r="H25" s="6">
        <f t="shared" ref="H25:H33" si="14">D25/(2*F25)</f>
        <v>0.11003304707587827</v>
      </c>
      <c r="I25" s="6">
        <f t="shared" si="12"/>
        <v>2.0195952773077241</v>
      </c>
    </row>
    <row r="26" spans="2:14" x14ac:dyDescent="0.25">
      <c r="B26" t="s">
        <v>9</v>
      </c>
      <c r="C26" s="1">
        <v>5</v>
      </c>
      <c r="D26" s="1">
        <v>21</v>
      </c>
      <c r="E26" s="12">
        <v>4.5</v>
      </c>
      <c r="F26" s="6">
        <f t="shared" si="13"/>
        <v>63.617251235193308</v>
      </c>
      <c r="G26" s="1">
        <f t="shared" ref="G26" si="15">(C26+D26)/2</f>
        <v>13</v>
      </c>
      <c r="H26" s="6">
        <f t="shared" si="14"/>
        <v>0.16504957061381739</v>
      </c>
      <c r="I26" s="6">
        <f t="shared" si="12"/>
        <v>1.6829960644231035</v>
      </c>
    </row>
    <row r="27" spans="2:14" x14ac:dyDescent="0.25">
      <c r="B27" t="s">
        <v>10</v>
      </c>
      <c r="C27" s="1">
        <v>4</v>
      </c>
      <c r="D27" s="1">
        <v>12</v>
      </c>
      <c r="E27" s="12">
        <v>4.5</v>
      </c>
      <c r="F27" s="6">
        <f t="shared" si="13"/>
        <v>63.617251235193308</v>
      </c>
      <c r="G27" s="1">
        <f t="shared" ref="G27:G33" si="16">(C27+D27)/2</f>
        <v>8</v>
      </c>
      <c r="H27" s="6">
        <f t="shared" si="14"/>
        <v>9.4314040350752804E-2</v>
      </c>
      <c r="I27" s="6">
        <f t="shared" si="12"/>
        <v>2.3561944901923448</v>
      </c>
    </row>
    <row r="28" spans="2:14" x14ac:dyDescent="0.25">
      <c r="B28" t="s">
        <v>11</v>
      </c>
      <c r="C28" s="1">
        <v>5</v>
      </c>
      <c r="D28" s="1">
        <v>13</v>
      </c>
      <c r="E28" s="12">
        <v>4.5</v>
      </c>
      <c r="F28" s="6">
        <f t="shared" si="13"/>
        <v>63.617251235193308</v>
      </c>
      <c r="G28" s="1">
        <f t="shared" si="16"/>
        <v>9</v>
      </c>
      <c r="H28" s="6">
        <f t="shared" si="14"/>
        <v>0.10217354371331554</v>
      </c>
      <c r="I28" s="6">
        <f t="shared" si="12"/>
        <v>2.7186859502219365</v>
      </c>
    </row>
    <row r="29" spans="2:14" x14ac:dyDescent="0.25">
      <c r="B29" t="s">
        <v>12</v>
      </c>
      <c r="C29" s="1">
        <v>2</v>
      </c>
      <c r="D29" s="1">
        <v>8</v>
      </c>
      <c r="E29" s="12">
        <v>4.5</v>
      </c>
      <c r="F29" s="6">
        <f t="shared" si="13"/>
        <v>63.617251235193308</v>
      </c>
      <c r="G29" s="1">
        <f t="shared" si="16"/>
        <v>5</v>
      </c>
      <c r="H29" s="6">
        <f t="shared" si="14"/>
        <v>6.2876026900501869E-2</v>
      </c>
      <c r="I29" s="6">
        <f t="shared" si="12"/>
        <v>1.7671458676442586</v>
      </c>
    </row>
    <row r="30" spans="2:14" x14ac:dyDescent="0.25">
      <c r="B30" t="s">
        <v>15</v>
      </c>
      <c r="C30" s="1">
        <v>3</v>
      </c>
      <c r="D30" s="1">
        <v>13</v>
      </c>
      <c r="E30" s="12">
        <v>4.5</v>
      </c>
      <c r="F30" s="6">
        <f t="shared" si="13"/>
        <v>63.617251235193308</v>
      </c>
      <c r="G30" s="1">
        <f t="shared" si="16"/>
        <v>8</v>
      </c>
      <c r="H30" s="6">
        <f t="shared" si="14"/>
        <v>0.10217354371331554</v>
      </c>
      <c r="I30" s="6">
        <f t="shared" si="12"/>
        <v>1.6312115701331618</v>
      </c>
    </row>
    <row r="31" spans="2:14" x14ac:dyDescent="0.25">
      <c r="B31" t="s">
        <v>13</v>
      </c>
      <c r="C31" s="1">
        <v>5</v>
      </c>
      <c r="D31" s="1">
        <v>17</v>
      </c>
      <c r="E31" s="12">
        <v>4.5</v>
      </c>
      <c r="F31" s="6">
        <f t="shared" si="13"/>
        <v>63.617251235193308</v>
      </c>
      <c r="G31" s="1">
        <f t="shared" si="16"/>
        <v>11</v>
      </c>
      <c r="H31" s="6">
        <f t="shared" si="14"/>
        <v>0.13361155716356646</v>
      </c>
      <c r="I31" s="6">
        <f t="shared" si="12"/>
        <v>2.07899513840501</v>
      </c>
    </row>
    <row r="32" spans="2:14" x14ac:dyDescent="0.25">
      <c r="B32" t="s">
        <v>14</v>
      </c>
      <c r="C32" s="1">
        <v>2</v>
      </c>
      <c r="D32" s="1">
        <v>16</v>
      </c>
      <c r="E32" s="12">
        <v>4.5</v>
      </c>
      <c r="F32" s="6">
        <f t="shared" si="13"/>
        <v>63.617251235193308</v>
      </c>
      <c r="G32" s="1">
        <f t="shared" si="16"/>
        <v>9</v>
      </c>
      <c r="H32" s="6">
        <f t="shared" si="14"/>
        <v>0.12575205380100374</v>
      </c>
      <c r="I32" s="6">
        <f t="shared" si="12"/>
        <v>0.88357293382212931</v>
      </c>
    </row>
    <row r="33" spans="2:9" x14ac:dyDescent="0.25">
      <c r="B33" t="s">
        <v>19</v>
      </c>
      <c r="C33" s="1">
        <v>4</v>
      </c>
      <c r="D33" s="1">
        <v>18</v>
      </c>
      <c r="E33" s="12">
        <v>4.5</v>
      </c>
      <c r="F33" s="6">
        <f t="shared" si="13"/>
        <v>63.617251235193308</v>
      </c>
      <c r="G33" s="1">
        <f t="shared" si="16"/>
        <v>11</v>
      </c>
      <c r="H33" s="6">
        <f t="shared" si="14"/>
        <v>0.14147106052612921</v>
      </c>
      <c r="I33" s="6">
        <f t="shared" si="12"/>
        <v>1.5707963267948966</v>
      </c>
    </row>
    <row r="34" spans="2:9" x14ac:dyDescent="0.25">
      <c r="B34" t="s">
        <v>20</v>
      </c>
      <c r="C34" s="1">
        <v>6</v>
      </c>
      <c r="D34" s="1">
        <v>20</v>
      </c>
      <c r="E34" s="12">
        <v>4.5</v>
      </c>
      <c r="F34" s="6">
        <f t="shared" ref="F34" si="17">PI()*(E34^2)</f>
        <v>63.617251235193308</v>
      </c>
      <c r="G34" s="1">
        <f t="shared" ref="G34" si="18">(C34+D34)/2</f>
        <v>13</v>
      </c>
      <c r="H34" s="6">
        <f t="shared" ref="H34" si="19">D34/(2*F34)</f>
        <v>0.15719006725125467</v>
      </c>
      <c r="I34" s="6">
        <f t="shared" ref="I34" si="20">(PI()*E34*C34)/(2*D34)</f>
        <v>2.1205750411731104</v>
      </c>
    </row>
    <row r="35" spans="2:9" x14ac:dyDescent="0.25">
      <c r="B35" t="s">
        <v>21</v>
      </c>
      <c r="C35" s="1">
        <v>5</v>
      </c>
      <c r="D35" s="1">
        <v>19</v>
      </c>
      <c r="E35" s="12">
        <v>4.5</v>
      </c>
      <c r="F35" s="6">
        <f t="shared" ref="F35" si="21">PI()*(E35^2)</f>
        <v>63.617251235193308</v>
      </c>
      <c r="G35" s="1">
        <f t="shared" ref="G35" si="22">(C35+D35)/2</f>
        <v>12</v>
      </c>
      <c r="H35" s="6">
        <f t="shared" ref="H35" si="23">D35/(2*F35)</f>
        <v>0.14933056388869193</v>
      </c>
      <c r="I35" s="6">
        <f t="shared" ref="I35" si="24">(PI()*E35*C35)/(2*D35)</f>
        <v>1.8601535448886934</v>
      </c>
    </row>
    <row r="36" spans="2:9" x14ac:dyDescent="0.25">
      <c r="B36" t="s">
        <v>22</v>
      </c>
      <c r="C36" s="1">
        <v>3</v>
      </c>
      <c r="D36" s="1">
        <v>23</v>
      </c>
      <c r="E36" s="12">
        <v>4.5</v>
      </c>
      <c r="F36" s="6">
        <f t="shared" ref="F36:F37" si="25">PI()*(E36^2)</f>
        <v>63.617251235193308</v>
      </c>
      <c r="G36" s="1">
        <f t="shared" ref="G36:G37" si="26">(C36+D36)/2</f>
        <v>13</v>
      </c>
      <c r="H36" s="6">
        <f t="shared" ref="H36:H37" si="27">D36/(2*F36)</f>
        <v>0.18076857733894286</v>
      </c>
      <c r="I36" s="6">
        <f t="shared" ref="I36:I37" si="28">(PI()*E36*C36)/(2*D36)</f>
        <v>0.92198914833613488</v>
      </c>
    </row>
    <row r="37" spans="2:9" x14ac:dyDescent="0.25">
      <c r="B37" t="s">
        <v>23</v>
      </c>
      <c r="C37" s="1">
        <v>3</v>
      </c>
      <c r="D37" s="1">
        <v>21</v>
      </c>
      <c r="E37" s="12">
        <v>4.5</v>
      </c>
      <c r="F37" s="6">
        <f t="shared" si="25"/>
        <v>63.617251235193308</v>
      </c>
      <c r="G37" s="1">
        <f t="shared" si="26"/>
        <v>12</v>
      </c>
      <c r="H37" s="6">
        <f t="shared" si="27"/>
        <v>0.16504957061381739</v>
      </c>
      <c r="I37" s="6">
        <f t="shared" si="28"/>
        <v>1.0097976386538621</v>
      </c>
    </row>
    <row r="38" spans="2:9" x14ac:dyDescent="0.25">
      <c r="C38" s="4"/>
      <c r="D38" s="4"/>
      <c r="E38" s="3"/>
      <c r="F38" s="10"/>
      <c r="G38" s="4"/>
      <c r="H38" s="10"/>
      <c r="I38" s="6">
        <f>AVERAGE(I24:I37)</f>
        <v>1.699986159792324</v>
      </c>
    </row>
    <row r="39" spans="2:9" x14ac:dyDescent="0.25">
      <c r="C39" s="17" t="s">
        <v>17</v>
      </c>
      <c r="D39" s="18"/>
      <c r="E39" s="18"/>
      <c r="F39" s="18"/>
      <c r="G39" s="18"/>
      <c r="H39" s="18"/>
      <c r="I39" s="19"/>
    </row>
    <row r="40" spans="2:9" ht="30" x14ac:dyDescent="0.25">
      <c r="C40" s="7" t="s">
        <v>0</v>
      </c>
      <c r="D40" s="8" t="s">
        <v>1</v>
      </c>
      <c r="E40" s="8" t="s">
        <v>2</v>
      </c>
      <c r="F40" s="8" t="s">
        <v>3</v>
      </c>
      <c r="G40" s="8" t="s">
        <v>4</v>
      </c>
      <c r="H40" s="8" t="s">
        <v>5</v>
      </c>
      <c r="I40" s="9" t="s">
        <v>6</v>
      </c>
    </row>
    <row r="41" spans="2:9" x14ac:dyDescent="0.25">
      <c r="B41" t="s">
        <v>7</v>
      </c>
      <c r="C41" s="1">
        <v>2</v>
      </c>
      <c r="D41" s="1">
        <v>12</v>
      </c>
      <c r="E41" s="6">
        <v>4.5</v>
      </c>
      <c r="F41" s="6">
        <f>PI()*(E41^2)</f>
        <v>63.617251235193308</v>
      </c>
      <c r="G41" s="1">
        <f t="shared" ref="G41:G49" si="29">(C41+D41)/2</f>
        <v>7</v>
      </c>
      <c r="H41" s="6">
        <f t="shared" ref="H41:H49" si="30">D41/(2*F41)</f>
        <v>9.4314040350752804E-2</v>
      </c>
      <c r="I41" s="6">
        <f>(PI()*E41*C41)/(2*D41)</f>
        <v>1.1780972450961724</v>
      </c>
    </row>
    <row r="42" spans="2:9" x14ac:dyDescent="0.25">
      <c r="B42" t="s">
        <v>8</v>
      </c>
      <c r="C42" s="1">
        <v>4</v>
      </c>
      <c r="D42" s="1">
        <v>14</v>
      </c>
      <c r="E42" s="6">
        <v>4.5</v>
      </c>
      <c r="F42" s="6">
        <f t="shared" ref="F42:F49" si="31">PI()*(E42^2)</f>
        <v>63.617251235193308</v>
      </c>
      <c r="G42" s="1">
        <f>(C42+D42)/2</f>
        <v>9</v>
      </c>
      <c r="H42" s="6">
        <f t="shared" si="30"/>
        <v>0.11003304707587827</v>
      </c>
      <c r="I42" s="6">
        <f t="shared" ref="I42:I49" si="32">(PI()*E42*C42)/(2*D42)</f>
        <v>2.0195952773077241</v>
      </c>
    </row>
    <row r="43" spans="2:9" x14ac:dyDescent="0.25">
      <c r="B43" t="s">
        <v>9</v>
      </c>
      <c r="C43" s="1">
        <v>2</v>
      </c>
      <c r="D43" s="1">
        <v>4</v>
      </c>
      <c r="E43" s="6">
        <v>4.5</v>
      </c>
      <c r="F43" s="6">
        <f t="shared" si="31"/>
        <v>63.617251235193308</v>
      </c>
      <c r="G43" s="1">
        <f t="shared" si="29"/>
        <v>3</v>
      </c>
      <c r="H43" s="6">
        <f t="shared" si="30"/>
        <v>3.1438013450250935E-2</v>
      </c>
      <c r="I43" s="6">
        <f t="shared" si="32"/>
        <v>3.5342917352885173</v>
      </c>
    </row>
    <row r="44" spans="2:9" x14ac:dyDescent="0.25">
      <c r="B44" t="s">
        <v>10</v>
      </c>
      <c r="C44" s="1">
        <v>2</v>
      </c>
      <c r="D44" s="1">
        <v>6</v>
      </c>
      <c r="E44" s="6">
        <v>4.5</v>
      </c>
      <c r="F44" s="6">
        <f t="shared" si="31"/>
        <v>63.617251235193308</v>
      </c>
      <c r="G44" s="1">
        <f t="shared" si="29"/>
        <v>4</v>
      </c>
      <c r="H44" s="6">
        <f t="shared" si="30"/>
        <v>4.7157020175376402E-2</v>
      </c>
      <c r="I44" s="6">
        <f t="shared" si="32"/>
        <v>2.3561944901923448</v>
      </c>
    </row>
    <row r="45" spans="2:9" x14ac:dyDescent="0.25">
      <c r="B45" t="s">
        <v>11</v>
      </c>
      <c r="C45" s="1">
        <v>3</v>
      </c>
      <c r="D45" s="1">
        <v>7</v>
      </c>
      <c r="E45" s="6">
        <v>4.5</v>
      </c>
      <c r="F45" s="6">
        <f t="shared" si="31"/>
        <v>63.617251235193308</v>
      </c>
      <c r="G45" s="1">
        <f t="shared" si="29"/>
        <v>5</v>
      </c>
      <c r="H45" s="6">
        <f t="shared" si="30"/>
        <v>5.5016523537939135E-2</v>
      </c>
      <c r="I45" s="6">
        <f t="shared" si="32"/>
        <v>3.0293929159615862</v>
      </c>
    </row>
    <row r="46" spans="2:9" x14ac:dyDescent="0.25">
      <c r="B46" t="s">
        <v>12</v>
      </c>
      <c r="C46" s="1">
        <v>2</v>
      </c>
      <c r="D46" s="1">
        <v>14</v>
      </c>
      <c r="E46" s="6">
        <v>4.5</v>
      </c>
      <c r="F46" s="6">
        <f t="shared" si="31"/>
        <v>63.617251235193308</v>
      </c>
      <c r="G46" s="1">
        <f t="shared" si="29"/>
        <v>8</v>
      </c>
      <c r="H46" s="6">
        <f t="shared" si="30"/>
        <v>0.11003304707587827</v>
      </c>
      <c r="I46" s="6">
        <f t="shared" si="32"/>
        <v>1.0097976386538621</v>
      </c>
    </row>
    <row r="47" spans="2:9" x14ac:dyDescent="0.25">
      <c r="B47" t="s">
        <v>15</v>
      </c>
      <c r="C47" s="1">
        <v>3</v>
      </c>
      <c r="D47" s="1">
        <v>16</v>
      </c>
      <c r="E47" s="6">
        <v>4.5</v>
      </c>
      <c r="F47" s="6">
        <f t="shared" si="31"/>
        <v>63.617251235193308</v>
      </c>
      <c r="G47" s="1">
        <f t="shared" si="29"/>
        <v>9.5</v>
      </c>
      <c r="H47" s="6">
        <f t="shared" si="30"/>
        <v>0.12575205380100374</v>
      </c>
      <c r="I47" s="6">
        <f t="shared" si="32"/>
        <v>1.3253594007331939</v>
      </c>
    </row>
    <row r="48" spans="2:9" x14ac:dyDescent="0.25">
      <c r="B48" t="s">
        <v>13</v>
      </c>
      <c r="C48" s="1">
        <v>4</v>
      </c>
      <c r="D48" s="1">
        <v>18</v>
      </c>
      <c r="E48" s="6">
        <v>4.5</v>
      </c>
      <c r="F48" s="6">
        <f t="shared" si="31"/>
        <v>63.617251235193308</v>
      </c>
      <c r="G48" s="1">
        <f t="shared" si="29"/>
        <v>11</v>
      </c>
      <c r="H48" s="6">
        <f t="shared" si="30"/>
        <v>0.14147106052612921</v>
      </c>
      <c r="I48" s="6">
        <f t="shared" si="32"/>
        <v>1.5707963267948966</v>
      </c>
    </row>
    <row r="49" spans="2:9" x14ac:dyDescent="0.25">
      <c r="B49" t="s">
        <v>14</v>
      </c>
      <c r="C49" s="1">
        <v>2</v>
      </c>
      <c r="D49" s="1">
        <v>20</v>
      </c>
      <c r="E49" s="6">
        <v>4.5</v>
      </c>
      <c r="F49" s="6">
        <f t="shared" si="31"/>
        <v>63.617251235193308</v>
      </c>
      <c r="G49" s="1">
        <f t="shared" si="29"/>
        <v>11</v>
      </c>
      <c r="H49" s="6">
        <f t="shared" si="30"/>
        <v>0.15719006725125467</v>
      </c>
      <c r="I49" s="6">
        <f t="shared" si="32"/>
        <v>0.70685834705770345</v>
      </c>
    </row>
    <row r="50" spans="2:9" x14ac:dyDescent="0.25">
      <c r="B50" t="s">
        <v>19</v>
      </c>
      <c r="C50" s="1">
        <v>4</v>
      </c>
      <c r="D50" s="1">
        <v>18</v>
      </c>
      <c r="E50" s="6">
        <v>4.5</v>
      </c>
      <c r="F50" s="6">
        <f t="shared" ref="F50:F54" si="33">PI()*(E50^2)</f>
        <v>63.617251235193308</v>
      </c>
      <c r="G50" s="1">
        <f t="shared" ref="G50:G54" si="34">(C50+D50)/2</f>
        <v>11</v>
      </c>
      <c r="H50" s="6">
        <f t="shared" ref="H50:H54" si="35">D50/(2*F50)</f>
        <v>0.14147106052612921</v>
      </c>
      <c r="I50" s="6">
        <f t="shared" ref="I50:I54" si="36">(PI()*E50*C50)/(2*D50)</f>
        <v>1.5707963267948966</v>
      </c>
    </row>
    <row r="51" spans="2:9" x14ac:dyDescent="0.25">
      <c r="B51" t="s">
        <v>20</v>
      </c>
      <c r="C51" s="1">
        <v>2</v>
      </c>
      <c r="D51" s="1">
        <v>14</v>
      </c>
      <c r="E51" s="6">
        <v>4.5</v>
      </c>
      <c r="F51" s="6">
        <f t="shared" si="33"/>
        <v>63.617251235193308</v>
      </c>
      <c r="G51" s="1">
        <f t="shared" si="34"/>
        <v>8</v>
      </c>
      <c r="H51" s="6">
        <f t="shared" si="35"/>
        <v>0.11003304707587827</v>
      </c>
      <c r="I51" s="6">
        <f t="shared" si="36"/>
        <v>1.0097976386538621</v>
      </c>
    </row>
    <row r="52" spans="2:9" x14ac:dyDescent="0.25">
      <c r="B52" t="s">
        <v>21</v>
      </c>
      <c r="C52" s="1">
        <v>2</v>
      </c>
      <c r="D52" s="1">
        <v>6</v>
      </c>
      <c r="E52" s="6">
        <v>4.5</v>
      </c>
      <c r="F52" s="6">
        <f t="shared" si="33"/>
        <v>63.617251235193308</v>
      </c>
      <c r="G52" s="1">
        <f t="shared" si="34"/>
        <v>4</v>
      </c>
      <c r="H52" s="6">
        <f t="shared" si="35"/>
        <v>4.7157020175376402E-2</v>
      </c>
      <c r="I52" s="6">
        <f t="shared" si="36"/>
        <v>2.3561944901923448</v>
      </c>
    </row>
    <row r="53" spans="2:9" x14ac:dyDescent="0.25">
      <c r="B53" t="s">
        <v>22</v>
      </c>
      <c r="C53" s="1">
        <v>2</v>
      </c>
      <c r="D53" s="1">
        <v>20</v>
      </c>
      <c r="E53" s="6">
        <v>4.5</v>
      </c>
      <c r="F53" s="6">
        <f t="shared" si="33"/>
        <v>63.617251235193308</v>
      </c>
      <c r="G53" s="1">
        <f t="shared" si="34"/>
        <v>11</v>
      </c>
      <c r="H53" s="6">
        <f t="shared" si="35"/>
        <v>0.15719006725125467</v>
      </c>
      <c r="I53" s="6">
        <f t="shared" si="36"/>
        <v>0.70685834705770345</v>
      </c>
    </row>
    <row r="54" spans="2:9" x14ac:dyDescent="0.25">
      <c r="B54" t="s">
        <v>23</v>
      </c>
      <c r="C54" s="1">
        <v>3</v>
      </c>
      <c r="D54" s="1">
        <v>21</v>
      </c>
      <c r="E54" s="6">
        <v>4.5</v>
      </c>
      <c r="F54" s="6">
        <f t="shared" si="33"/>
        <v>63.617251235193308</v>
      </c>
      <c r="G54" s="1">
        <f t="shared" si="34"/>
        <v>12</v>
      </c>
      <c r="H54" s="6">
        <f t="shared" si="35"/>
        <v>0.16504957061381739</v>
      </c>
      <c r="I54" s="6">
        <f t="shared" si="36"/>
        <v>1.0097976386538621</v>
      </c>
    </row>
    <row r="55" spans="2:9" x14ac:dyDescent="0.25">
      <c r="C55" s="1"/>
      <c r="D55" s="1"/>
      <c r="E55" s="1"/>
      <c r="F55" s="1"/>
      <c r="G55" s="1"/>
      <c r="H55" s="1"/>
      <c r="I55" s="11">
        <f>AVERAGE(I41:I54)</f>
        <v>1.6702734156027621</v>
      </c>
    </row>
    <row r="59" spans="2:9" x14ac:dyDescent="0.25">
      <c r="C59" s="17" t="s">
        <v>24</v>
      </c>
      <c r="D59" s="18"/>
      <c r="E59" s="18"/>
      <c r="F59" s="18"/>
      <c r="G59" s="18"/>
      <c r="H59" s="18"/>
      <c r="I59" s="19"/>
    </row>
    <row r="60" spans="2:9" ht="30" x14ac:dyDescent="0.25">
      <c r="C60" s="7" t="s">
        <v>0</v>
      </c>
      <c r="D60" s="8" t="s">
        <v>1</v>
      </c>
      <c r="E60" s="8" t="s">
        <v>2</v>
      </c>
      <c r="F60" s="8" t="s">
        <v>3</v>
      </c>
      <c r="G60" s="8" t="s">
        <v>4</v>
      </c>
      <c r="H60" s="8" t="s">
        <v>5</v>
      </c>
      <c r="I60" s="9" t="s">
        <v>6</v>
      </c>
    </row>
    <row r="61" spans="2:9" x14ac:dyDescent="0.25">
      <c r="B61" t="s">
        <v>7</v>
      </c>
      <c r="C61" s="1">
        <v>3</v>
      </c>
      <c r="D61" s="1">
        <v>9</v>
      </c>
      <c r="E61" s="6">
        <v>4.5</v>
      </c>
      <c r="F61" s="6">
        <f>PI()*(E61^2)</f>
        <v>63.617251235193308</v>
      </c>
      <c r="G61" s="1">
        <f t="shared" ref="G61" si="37">(C61+D61)/2</f>
        <v>6</v>
      </c>
      <c r="H61" s="6">
        <f t="shared" ref="H61:H66" si="38">D61/(2*F61)</f>
        <v>7.0735530263064603E-2</v>
      </c>
      <c r="I61" s="6">
        <f>(PI()*E61*C61)/(2*D61)</f>
        <v>2.3561944901923448</v>
      </c>
    </row>
    <row r="62" spans="2:9" x14ac:dyDescent="0.25">
      <c r="B62" t="s">
        <v>8</v>
      </c>
      <c r="C62" s="1">
        <v>2</v>
      </c>
      <c r="D62" s="1">
        <v>6</v>
      </c>
      <c r="E62" s="6">
        <v>4.5</v>
      </c>
      <c r="F62" s="6">
        <f t="shared" ref="F62:F66" si="39">PI()*(E62^2)</f>
        <v>63.617251235193308</v>
      </c>
      <c r="G62" s="1">
        <f>(C62+D62)/2</f>
        <v>4</v>
      </c>
      <c r="H62" s="6">
        <f t="shared" si="38"/>
        <v>4.7157020175376402E-2</v>
      </c>
      <c r="I62" s="6">
        <f t="shared" ref="I62:I66" si="40">(PI()*E62*C62)/(2*D62)</f>
        <v>2.3561944901923448</v>
      </c>
    </row>
    <row r="63" spans="2:9" x14ac:dyDescent="0.25">
      <c r="B63" t="s">
        <v>9</v>
      </c>
      <c r="C63" s="1">
        <v>3</v>
      </c>
      <c r="D63" s="1">
        <v>7</v>
      </c>
      <c r="E63" s="6">
        <v>4.5</v>
      </c>
      <c r="F63" s="6">
        <f t="shared" si="39"/>
        <v>63.617251235193308</v>
      </c>
      <c r="G63" s="1">
        <f t="shared" ref="G63:G66" si="41">(C63+D63)/2</f>
        <v>5</v>
      </c>
      <c r="H63" s="6">
        <f t="shared" si="38"/>
        <v>5.5016523537939135E-2</v>
      </c>
      <c r="I63" s="6">
        <f t="shared" si="40"/>
        <v>3.0293929159615862</v>
      </c>
    </row>
    <row r="64" spans="2:9" x14ac:dyDescent="0.25">
      <c r="B64" t="s">
        <v>10</v>
      </c>
      <c r="C64" s="1">
        <v>3</v>
      </c>
      <c r="D64" s="1">
        <v>8</v>
      </c>
      <c r="E64" s="6">
        <v>4.5</v>
      </c>
      <c r="F64" s="6">
        <f t="shared" si="39"/>
        <v>63.617251235193308</v>
      </c>
      <c r="G64" s="1">
        <f t="shared" si="41"/>
        <v>5.5</v>
      </c>
      <c r="H64" s="6">
        <f t="shared" si="38"/>
        <v>6.2876026900501869E-2</v>
      </c>
      <c r="I64" s="6">
        <f t="shared" si="40"/>
        <v>2.6507188014663878</v>
      </c>
    </row>
    <row r="65" spans="2:9" x14ac:dyDescent="0.25">
      <c r="B65" t="s">
        <v>11</v>
      </c>
      <c r="C65" s="1">
        <v>3</v>
      </c>
      <c r="D65" s="1">
        <v>9</v>
      </c>
      <c r="E65" s="6">
        <v>4.5</v>
      </c>
      <c r="F65" s="6">
        <f t="shared" si="39"/>
        <v>63.617251235193308</v>
      </c>
      <c r="G65" s="1">
        <f t="shared" si="41"/>
        <v>6</v>
      </c>
      <c r="H65" s="6">
        <f t="shared" si="38"/>
        <v>7.0735530263064603E-2</v>
      </c>
      <c r="I65" s="6">
        <f t="shared" si="40"/>
        <v>2.3561944901923448</v>
      </c>
    </row>
    <row r="66" spans="2:9" x14ac:dyDescent="0.25">
      <c r="B66" t="s">
        <v>12</v>
      </c>
      <c r="C66" s="1">
        <v>3</v>
      </c>
      <c r="D66" s="1">
        <v>7</v>
      </c>
      <c r="E66" s="6">
        <v>4.5</v>
      </c>
      <c r="F66" s="6">
        <f t="shared" si="39"/>
        <v>63.617251235193308</v>
      </c>
      <c r="G66" s="1">
        <f t="shared" si="41"/>
        <v>5</v>
      </c>
      <c r="H66" s="6">
        <f t="shared" si="38"/>
        <v>5.5016523537939135E-2</v>
      </c>
      <c r="I66" s="6">
        <f t="shared" si="40"/>
        <v>3.0293929159615862</v>
      </c>
    </row>
    <row r="67" spans="2:9" x14ac:dyDescent="0.25">
      <c r="B67" t="s">
        <v>15</v>
      </c>
      <c r="C67" s="1">
        <v>1</v>
      </c>
      <c r="D67" s="1">
        <v>7</v>
      </c>
      <c r="E67" s="6">
        <v>4.5</v>
      </c>
      <c r="F67" s="6">
        <f t="shared" ref="F67:F70" si="42">PI()*(E67^2)</f>
        <v>63.617251235193308</v>
      </c>
      <c r="G67" s="1">
        <f t="shared" ref="G67:G70" si="43">(C67+D67)/2</f>
        <v>4</v>
      </c>
      <c r="H67" s="6">
        <f t="shared" ref="H67:H70" si="44">D67/(2*F67)</f>
        <v>5.5016523537939135E-2</v>
      </c>
      <c r="I67" s="6">
        <f t="shared" ref="I67:I70" si="45">(PI()*E67*C67)/(2*D67)</f>
        <v>1.0097976386538621</v>
      </c>
    </row>
    <row r="68" spans="2:9" x14ac:dyDescent="0.25">
      <c r="B68" t="s">
        <v>13</v>
      </c>
      <c r="C68" s="1">
        <v>3</v>
      </c>
      <c r="D68" s="1">
        <v>11</v>
      </c>
      <c r="E68" s="6">
        <v>4.5</v>
      </c>
      <c r="F68" s="6">
        <f t="shared" si="42"/>
        <v>63.617251235193308</v>
      </c>
      <c r="G68" s="1">
        <f t="shared" si="43"/>
        <v>7</v>
      </c>
      <c r="H68" s="6">
        <f t="shared" si="44"/>
        <v>8.645453698819007E-2</v>
      </c>
      <c r="I68" s="6">
        <f t="shared" si="45"/>
        <v>1.9277954919755549</v>
      </c>
    </row>
    <row r="69" spans="2:9" x14ac:dyDescent="0.25">
      <c r="B69" t="s">
        <v>14</v>
      </c>
      <c r="C69" s="1">
        <v>2</v>
      </c>
      <c r="D69" s="1">
        <v>6</v>
      </c>
      <c r="E69" s="6">
        <v>4.5</v>
      </c>
      <c r="F69" s="6">
        <f t="shared" si="42"/>
        <v>63.617251235193308</v>
      </c>
      <c r="G69" s="1">
        <f t="shared" si="43"/>
        <v>4</v>
      </c>
      <c r="H69" s="6">
        <f t="shared" si="44"/>
        <v>4.7157020175376402E-2</v>
      </c>
      <c r="I69" s="6">
        <f t="shared" si="45"/>
        <v>2.3561944901923448</v>
      </c>
    </row>
    <row r="70" spans="2:9" x14ac:dyDescent="0.25">
      <c r="B70" t="s">
        <v>19</v>
      </c>
      <c r="C70" s="1">
        <v>1</v>
      </c>
      <c r="D70" s="1">
        <v>5</v>
      </c>
      <c r="E70" s="6">
        <v>4.5</v>
      </c>
      <c r="F70" s="6">
        <f t="shared" si="42"/>
        <v>63.617251235193308</v>
      </c>
      <c r="G70" s="1">
        <f t="shared" si="43"/>
        <v>3</v>
      </c>
      <c r="H70" s="6">
        <f t="shared" si="44"/>
        <v>3.9297516812813668E-2</v>
      </c>
      <c r="I70" s="6">
        <f t="shared" si="45"/>
        <v>1.4137166941154069</v>
      </c>
    </row>
    <row r="71" spans="2:9" x14ac:dyDescent="0.25">
      <c r="B71" t="s">
        <v>20</v>
      </c>
      <c r="C71" s="1">
        <v>2</v>
      </c>
      <c r="D71" s="1">
        <v>16</v>
      </c>
      <c r="E71" s="6">
        <v>4.5</v>
      </c>
      <c r="F71" s="6">
        <f t="shared" ref="F71:F72" si="46">PI()*(E71^2)</f>
        <v>63.617251235193308</v>
      </c>
      <c r="G71" s="1">
        <f t="shared" ref="G71:G72" si="47">(C71+D71)/2</f>
        <v>9</v>
      </c>
      <c r="H71" s="6">
        <f t="shared" ref="H71:H72" si="48">D71/(2*F71)</f>
        <v>0.12575205380100374</v>
      </c>
      <c r="I71" s="6">
        <f t="shared" ref="I71:I72" si="49">(PI()*E71*C71)/(2*D71)</f>
        <v>0.88357293382212931</v>
      </c>
    </row>
    <row r="72" spans="2:9" x14ac:dyDescent="0.25">
      <c r="B72" t="s">
        <v>21</v>
      </c>
      <c r="C72" s="1">
        <v>2</v>
      </c>
      <c r="D72" s="1">
        <v>18</v>
      </c>
      <c r="E72" s="6">
        <v>4.5</v>
      </c>
      <c r="F72" s="6">
        <f t="shared" si="46"/>
        <v>63.617251235193308</v>
      </c>
      <c r="G72" s="1">
        <f t="shared" si="47"/>
        <v>10</v>
      </c>
      <c r="H72" s="6">
        <f t="shared" si="48"/>
        <v>0.14147106052612921</v>
      </c>
      <c r="I72" s="6">
        <f t="shared" si="49"/>
        <v>0.78539816339744828</v>
      </c>
    </row>
    <row r="73" spans="2:9" x14ac:dyDescent="0.25">
      <c r="B73" t="s">
        <v>22</v>
      </c>
      <c r="C73" s="1"/>
      <c r="D73" s="1"/>
      <c r="E73" s="6"/>
      <c r="F73" s="6"/>
      <c r="G73" s="1"/>
      <c r="H73" s="6"/>
      <c r="I73" s="6"/>
    </row>
    <row r="74" spans="2:9" x14ac:dyDescent="0.25">
      <c r="B74" t="s">
        <v>23</v>
      </c>
      <c r="C74" s="1"/>
      <c r="D74" s="1"/>
      <c r="E74" s="6"/>
      <c r="F74" s="6"/>
      <c r="G74" s="1"/>
      <c r="H74" s="6"/>
      <c r="I74" s="11">
        <f>AVERAGE(I61:I72)</f>
        <v>2.0128802930102787</v>
      </c>
    </row>
    <row r="75" spans="2:9" x14ac:dyDescent="0.25">
      <c r="C75" s="1"/>
      <c r="D75" s="1"/>
      <c r="E75" s="1"/>
      <c r="F75" s="1"/>
      <c r="G75" s="1"/>
      <c r="H75" s="1"/>
    </row>
    <row r="79" spans="2:9" x14ac:dyDescent="0.25">
      <c r="C79" s="16"/>
      <c r="D79" s="16"/>
      <c r="E79" s="16"/>
      <c r="F79" s="16"/>
      <c r="G79" s="16"/>
      <c r="H79" s="16"/>
      <c r="I79" s="16"/>
    </row>
    <row r="80" spans="2:9" x14ac:dyDescent="0.25">
      <c r="C80" s="14"/>
      <c r="D80" s="14"/>
      <c r="E80" s="14"/>
      <c r="F80" s="14"/>
      <c r="G80" s="14"/>
      <c r="H80" s="14"/>
      <c r="I80" s="14"/>
    </row>
    <row r="81" spans="3:9" x14ac:dyDescent="0.25">
      <c r="C81" s="4"/>
      <c r="D81" s="4"/>
      <c r="E81" s="10"/>
      <c r="F81" s="10"/>
      <c r="G81" s="4"/>
      <c r="H81" s="10"/>
      <c r="I81" s="10"/>
    </row>
    <row r="82" spans="3:9" x14ac:dyDescent="0.25">
      <c r="C82" s="4"/>
      <c r="D82" s="4"/>
      <c r="E82" s="10"/>
      <c r="F82" s="10"/>
      <c r="G82" s="4"/>
      <c r="H82" s="10"/>
      <c r="I82" s="10"/>
    </row>
    <row r="83" spans="3:9" x14ac:dyDescent="0.25">
      <c r="C83" s="4"/>
      <c r="D83" s="4"/>
      <c r="E83" s="10"/>
      <c r="F83" s="10"/>
      <c r="G83" s="4"/>
      <c r="H83" s="10"/>
      <c r="I83" s="10"/>
    </row>
    <row r="84" spans="3:9" x14ac:dyDescent="0.25">
      <c r="C84" s="4"/>
      <c r="D84" s="4"/>
      <c r="E84" s="10"/>
      <c r="F84" s="10"/>
      <c r="G84" s="4"/>
      <c r="H84" s="10"/>
      <c r="I84" s="10"/>
    </row>
    <row r="85" spans="3:9" x14ac:dyDescent="0.25">
      <c r="C85" s="4"/>
      <c r="D85" s="4"/>
      <c r="E85" s="10"/>
      <c r="F85" s="10"/>
      <c r="G85" s="4"/>
      <c r="H85" s="10"/>
      <c r="I85" s="10"/>
    </row>
    <row r="86" spans="3:9" x14ac:dyDescent="0.25">
      <c r="C86" s="4"/>
      <c r="D86" s="4"/>
      <c r="E86" s="10"/>
      <c r="F86" s="10"/>
      <c r="G86" s="4"/>
      <c r="H86" s="10"/>
      <c r="I86" s="10"/>
    </row>
    <row r="87" spans="3:9" x14ac:dyDescent="0.25">
      <c r="C87" s="4"/>
      <c r="D87" s="4"/>
      <c r="E87" s="10"/>
      <c r="F87" s="10"/>
      <c r="G87" s="4"/>
      <c r="H87" s="10"/>
      <c r="I87" s="10"/>
    </row>
    <row r="88" spans="3:9" x14ac:dyDescent="0.25">
      <c r="C88" s="4"/>
      <c r="D88" s="4"/>
      <c r="E88" s="10"/>
      <c r="F88" s="10"/>
      <c r="G88" s="4"/>
      <c r="H88" s="10"/>
      <c r="I88" s="10"/>
    </row>
    <row r="89" spans="3:9" x14ac:dyDescent="0.25">
      <c r="C89" s="4"/>
      <c r="D89" s="4"/>
      <c r="E89" s="10"/>
      <c r="F89" s="10"/>
      <c r="G89" s="4"/>
      <c r="H89" s="10"/>
      <c r="I89" s="10"/>
    </row>
    <row r="90" spans="3:9" x14ac:dyDescent="0.25">
      <c r="C90" s="4"/>
      <c r="D90" s="4"/>
      <c r="E90" s="10"/>
      <c r="F90" s="10"/>
      <c r="G90" s="4"/>
      <c r="H90" s="10"/>
      <c r="I90" s="10"/>
    </row>
    <row r="91" spans="3:9" x14ac:dyDescent="0.25">
      <c r="C91" s="4"/>
      <c r="D91" s="4"/>
      <c r="E91" s="10"/>
      <c r="F91" s="10"/>
      <c r="G91" s="4"/>
      <c r="H91" s="10"/>
      <c r="I91" s="10"/>
    </row>
    <row r="92" spans="3:9" x14ac:dyDescent="0.25">
      <c r="C92" s="4"/>
      <c r="D92" s="4"/>
      <c r="E92" s="10"/>
      <c r="F92" s="10"/>
      <c r="G92" s="4"/>
      <c r="H92" s="10"/>
      <c r="I92" s="10"/>
    </row>
    <row r="93" spans="3:9" x14ac:dyDescent="0.25">
      <c r="C93" s="4"/>
      <c r="D93" s="4"/>
      <c r="E93" s="10"/>
      <c r="F93" s="10"/>
      <c r="G93" s="4"/>
      <c r="H93" s="10"/>
      <c r="I93" s="10"/>
    </row>
    <row r="94" spans="3:9" x14ac:dyDescent="0.25">
      <c r="C94" s="4"/>
      <c r="D94" s="4"/>
      <c r="E94" s="10"/>
      <c r="F94" s="10"/>
      <c r="G94" s="4"/>
      <c r="H94" s="10"/>
      <c r="I94" s="10"/>
    </row>
    <row r="95" spans="3:9" x14ac:dyDescent="0.25">
      <c r="C95" s="4"/>
      <c r="D95" s="4"/>
      <c r="E95" s="4"/>
      <c r="F95" s="4"/>
      <c r="G95" s="4"/>
      <c r="H95" s="4"/>
      <c r="I95" s="15"/>
    </row>
    <row r="98" spans="3:9" x14ac:dyDescent="0.25">
      <c r="C98" s="16"/>
      <c r="D98" s="16"/>
      <c r="E98" s="16"/>
      <c r="F98" s="16"/>
      <c r="G98" s="16"/>
      <c r="H98" s="16"/>
      <c r="I98" s="16"/>
    </row>
    <row r="99" spans="3:9" x14ac:dyDescent="0.25">
      <c r="C99" s="14"/>
      <c r="D99" s="14"/>
      <c r="E99" s="14"/>
      <c r="F99" s="14"/>
      <c r="G99" s="14"/>
      <c r="H99" s="14"/>
      <c r="I99" s="14"/>
    </row>
    <row r="100" spans="3:9" x14ac:dyDescent="0.25">
      <c r="C100" s="4"/>
      <c r="D100" s="4"/>
      <c r="E100" s="10"/>
      <c r="F100" s="10"/>
      <c r="G100" s="4"/>
      <c r="H100" s="10"/>
      <c r="I100" s="10"/>
    </row>
    <row r="101" spans="3:9" x14ac:dyDescent="0.25">
      <c r="C101" s="4"/>
      <c r="D101" s="4"/>
      <c r="E101" s="10"/>
      <c r="F101" s="10"/>
      <c r="G101" s="4"/>
      <c r="H101" s="10"/>
      <c r="I101" s="10"/>
    </row>
    <row r="102" spans="3:9" x14ac:dyDescent="0.25">
      <c r="C102" s="4"/>
      <c r="D102" s="4"/>
      <c r="E102" s="10"/>
      <c r="F102" s="10"/>
      <c r="G102" s="4"/>
      <c r="H102" s="10"/>
      <c r="I102" s="10"/>
    </row>
    <row r="103" spans="3:9" x14ac:dyDescent="0.25">
      <c r="C103" s="4"/>
      <c r="D103" s="4"/>
      <c r="E103" s="10"/>
      <c r="F103" s="10"/>
      <c r="G103" s="4"/>
      <c r="H103" s="10"/>
      <c r="I103" s="10"/>
    </row>
    <row r="104" spans="3:9" x14ac:dyDescent="0.25">
      <c r="C104" s="4"/>
      <c r="D104" s="4"/>
      <c r="E104" s="10"/>
      <c r="F104" s="10"/>
      <c r="G104" s="4"/>
      <c r="H104" s="10"/>
      <c r="I104" s="10"/>
    </row>
    <row r="105" spans="3:9" x14ac:dyDescent="0.25">
      <c r="C105" s="4"/>
      <c r="D105" s="4"/>
      <c r="E105" s="10"/>
      <c r="F105" s="10"/>
      <c r="G105" s="4"/>
      <c r="H105" s="10"/>
      <c r="I105" s="10"/>
    </row>
    <row r="106" spans="3:9" x14ac:dyDescent="0.25">
      <c r="C106" s="4"/>
      <c r="D106" s="4"/>
      <c r="E106" s="10"/>
      <c r="F106" s="10"/>
      <c r="G106" s="4"/>
      <c r="H106" s="10"/>
      <c r="I106" s="10"/>
    </row>
    <row r="107" spans="3:9" x14ac:dyDescent="0.25">
      <c r="C107" s="4"/>
      <c r="D107" s="4"/>
      <c r="E107" s="10"/>
      <c r="F107" s="10"/>
      <c r="G107" s="4"/>
      <c r="H107" s="10"/>
      <c r="I107" s="10"/>
    </row>
    <row r="108" spans="3:9" x14ac:dyDescent="0.25">
      <c r="C108" s="4"/>
      <c r="D108" s="4"/>
      <c r="E108" s="10"/>
      <c r="F108" s="10"/>
      <c r="G108" s="4"/>
      <c r="H108" s="10"/>
      <c r="I108" s="10"/>
    </row>
    <row r="109" spans="3:9" x14ac:dyDescent="0.25">
      <c r="C109" s="4"/>
      <c r="D109" s="4"/>
      <c r="E109" s="10"/>
      <c r="F109" s="10"/>
      <c r="G109" s="4"/>
      <c r="H109" s="10"/>
      <c r="I109" s="10"/>
    </row>
    <row r="110" spans="3:9" x14ac:dyDescent="0.25">
      <c r="C110" s="4"/>
      <c r="D110" s="4"/>
      <c r="E110" s="10"/>
      <c r="F110" s="10"/>
      <c r="G110" s="4"/>
      <c r="H110" s="10"/>
      <c r="I110" s="10"/>
    </row>
    <row r="111" spans="3:9" x14ac:dyDescent="0.25">
      <c r="C111" s="4"/>
      <c r="D111" s="4"/>
      <c r="E111" s="10"/>
      <c r="F111" s="10"/>
      <c r="G111" s="4"/>
      <c r="H111" s="10"/>
      <c r="I111" s="10"/>
    </row>
    <row r="112" spans="3:9" x14ac:dyDescent="0.25">
      <c r="C112" s="4"/>
      <c r="D112" s="4"/>
      <c r="E112" s="10"/>
      <c r="F112" s="10"/>
      <c r="G112" s="4"/>
      <c r="H112" s="10"/>
      <c r="I112" s="10"/>
    </row>
    <row r="113" spans="3:9" x14ac:dyDescent="0.25">
      <c r="C113" s="4"/>
      <c r="D113" s="4"/>
      <c r="E113" s="10"/>
      <c r="F113" s="10"/>
      <c r="G113" s="4"/>
      <c r="H113" s="10"/>
      <c r="I113" s="10"/>
    </row>
    <row r="114" spans="3:9" x14ac:dyDescent="0.25">
      <c r="C114" s="4"/>
      <c r="D114" s="4"/>
      <c r="E114" s="4"/>
      <c r="F114" s="4"/>
      <c r="G114" s="4"/>
      <c r="H114" s="4"/>
      <c r="I114" s="15"/>
    </row>
  </sheetData>
  <mergeCells count="6">
    <mergeCell ref="C98:I98"/>
    <mergeCell ref="C5:I5"/>
    <mergeCell ref="C22:I22"/>
    <mergeCell ref="C39:I39"/>
    <mergeCell ref="C59:I59"/>
    <mergeCell ref="C79:I79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7f3905-30f2-487b-a980-ca16099f837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CFD8671415AD498CF467AF60FAC8B2" ma:contentTypeVersion="12" ma:contentTypeDescription="Create a new document." ma:contentTypeScope="" ma:versionID="c0870a829a626ab66d90104a474be7ae">
  <xsd:schema xmlns:xsd="http://www.w3.org/2001/XMLSchema" xmlns:xs="http://www.w3.org/2001/XMLSchema" xmlns:p="http://schemas.microsoft.com/office/2006/metadata/properties" xmlns:ns2="587f3905-30f2-487b-a980-ca16099f8379" targetNamespace="http://schemas.microsoft.com/office/2006/metadata/properties" ma:root="true" ma:fieldsID="127687f48859d1fa7cc5a211899e4476" ns2:_="">
    <xsd:import namespace="587f3905-30f2-487b-a980-ca16099f83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3905-30f2-487b-a980-ca16099f83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a852ff-fd58-470d-9965-c03373c1aa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EC85C6-42C2-4FC4-B96A-47208D58B0C1}">
  <ds:schemaRefs>
    <ds:schemaRef ds:uri="http://schemas.microsoft.com/office/2006/metadata/properties"/>
    <ds:schemaRef ds:uri="http://schemas.microsoft.com/office/infopath/2007/PartnerControls"/>
    <ds:schemaRef ds:uri="587f3905-30f2-487b-a980-ca16099f8379"/>
  </ds:schemaRefs>
</ds:datastoreItem>
</file>

<file path=customXml/itemProps2.xml><?xml version="1.0" encoding="utf-8"?>
<ds:datastoreItem xmlns:ds="http://schemas.openxmlformats.org/officeDocument/2006/customXml" ds:itemID="{42B00DA9-316D-4AEE-909B-7130E8E01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3905-30f2-487b-a980-ca16099f83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5C394-98D7-4FCD-A581-999E88573B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Feuil1</vt:lpstr>
      <vt:lpstr>Feuil1!Print_Area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Galdino de Magalhaes</dc:creator>
  <cp:keywords/>
  <dc:description/>
  <cp:lastModifiedBy>Souissi, Mayssa</cp:lastModifiedBy>
  <cp:revision/>
  <dcterms:created xsi:type="dcterms:W3CDTF">2024-01-30T20:01:58Z</dcterms:created>
  <dcterms:modified xsi:type="dcterms:W3CDTF">2026-07-20T15:32:46Z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0x010100BECFD8671415AD498CF467AF60FAC8B2</vt:lpwstr>
  </property>
  <property fmtid="{D5CDD505-2E9C-101B-9397-08002B2CF9AE}" pid="3" name="MediaServiceImageTags">
    <vt:lpwstr/>
  </property>
</Properties>
</file>